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<sst xmlns="http://schemas.openxmlformats.org/spreadsheetml/2006/main" count="9" uniqueCount="9">
  <si>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semillas</t>
  </si>
  <si>
    <t>Corte_envios</t>
  </si>
  <si>
    <t>Ganancia_1</t>
  </si>
  <si>
    <t>Ganancia_2</t>
  </si>
  <si>
    <t>Ganancia_3</t>
  </si>
  <si>
    <t>Ganancia_4</t>
  </si>
  <si>
    <t>Ganancia_5</t>
  </si>
  <si>
    <t>Ganancia_Media</t>
  </si>
  <si>
    <t>Desvio_Estandar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</si>
</sst>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533317.0</v>
      </c>
      <c r="C1" s="2">
        <v>566701.0</v>
      </c>
      <c r="D1" s="2">
        <v>599629.0</v>
      </c>
      <c r="E1" s="2">
        <v>633001.0</v>
      </c>
      <c r="F1" s="2">
        <v>666559.0</v>
      </c>
      <c r="G1" s="1"/>
      <c r="H1" s="1"/>
    </row>
    <row r="2">
      <c r="A2" s="3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3" t="s">
        <v>8</v>
      </c>
    </row>
    <row r="3">
      <c r="A3" s="2">
        <v>1300.0</v>
      </c>
      <c r="B3" s="2">
        <v>4150.0</v>
      </c>
      <c r="C3" s="2">
        <v>3406.0</v>
      </c>
      <c r="D3" s="2">
        <v>4587.0</v>
      </c>
      <c r="E3" s="2">
        <v>3426.0</v>
      </c>
      <c r="F3" s="2">
        <v>3525.0</v>
      </c>
      <c r="G3" s="2">
        <f t="shared" ref="G3:G13" si="1">AVERAGE(B3:F3)</f>
        <v>3818.8</v>
      </c>
      <c r="H3" s="2">
        <f t="shared" ref="H3:H13" si="2">_xlfn.STDEV.S(B3:F3)</f>
        <v>526.9816885</v>
      </c>
    </row>
    <row r="4">
      <c r="A4" s="2">
        <v>1250.0</v>
      </c>
      <c r="B4" s="2">
        <v>4390.0</v>
      </c>
      <c r="C4" s="2">
        <v>3545.0</v>
      </c>
      <c r="D4" s="2">
        <v>4319.0</v>
      </c>
      <c r="E4" s="2">
        <v>3555.0</v>
      </c>
      <c r="F4" s="2">
        <v>3614.0</v>
      </c>
      <c r="G4" s="2">
        <f t="shared" si="1"/>
        <v>3884.6</v>
      </c>
      <c r="H4" s="2">
        <f t="shared" si="2"/>
        <v>430.5000581</v>
      </c>
    </row>
    <row r="5">
      <c r="A5" s="2">
        <v>1200.0</v>
      </c>
      <c r="B5" s="2">
        <v>4091.0</v>
      </c>
      <c r="C5" s="2">
        <v>3714.0</v>
      </c>
      <c r="D5" s="2">
        <v>4071.0</v>
      </c>
      <c r="E5" s="2">
        <v>3654.0</v>
      </c>
      <c r="F5" s="2">
        <v>3694.0</v>
      </c>
      <c r="G5" s="2">
        <f t="shared" si="1"/>
        <v>3844.8</v>
      </c>
      <c r="H5" s="2">
        <f t="shared" si="2"/>
        <v>216.814898</v>
      </c>
    </row>
    <row r="6">
      <c r="A6" s="2">
        <v>1150.0</v>
      </c>
      <c r="B6" s="2">
        <v>4180.0</v>
      </c>
      <c r="C6" s="2">
        <v>3813.0</v>
      </c>
      <c r="D6" s="2">
        <v>3846.0</v>
      </c>
      <c r="E6" s="2">
        <v>3396.0</v>
      </c>
      <c r="F6" s="2">
        <v>3535.0</v>
      </c>
      <c r="G6" s="2">
        <f t="shared" si="1"/>
        <v>3754</v>
      </c>
      <c r="H6" s="2">
        <f t="shared" si="2"/>
        <v>303.9514764</v>
      </c>
    </row>
    <row r="7">
      <c r="A7" s="2">
        <v>1100.0</v>
      </c>
      <c r="B7" s="2">
        <v>4280.0</v>
      </c>
      <c r="C7" s="2">
        <v>3555.0</v>
      </c>
      <c r="D7" s="2">
        <v>3962.0</v>
      </c>
      <c r="E7" s="2">
        <v>3515.0</v>
      </c>
      <c r="F7" s="2">
        <v>3604.0</v>
      </c>
      <c r="G7" s="2">
        <f t="shared" si="1"/>
        <v>3783.2</v>
      </c>
      <c r="H7" s="2">
        <f t="shared" si="2"/>
        <v>329.734287</v>
      </c>
    </row>
    <row r="8">
      <c r="A8" s="2">
        <v>1050.0</v>
      </c>
      <c r="B8" s="2">
        <v>4419.0</v>
      </c>
      <c r="C8" s="2">
        <v>3694.0</v>
      </c>
      <c r="D8" s="2">
        <v>3684.0</v>
      </c>
      <c r="E8" s="2">
        <v>3227.0</v>
      </c>
      <c r="F8" s="2">
        <v>3753.0</v>
      </c>
      <c r="G8" s="2">
        <f t="shared" si="1"/>
        <v>3755.4</v>
      </c>
      <c r="H8" s="2">
        <f t="shared" si="2"/>
        <v>426.7450058</v>
      </c>
    </row>
    <row r="9">
      <c r="A9" s="2">
        <v>1000.0</v>
      </c>
      <c r="B9" s="4">
        <v>4568.0</v>
      </c>
      <c r="C9" s="2">
        <v>3833.0</v>
      </c>
      <c r="D9" s="2">
        <v>3823.0</v>
      </c>
      <c r="E9" s="2">
        <v>3929.0</v>
      </c>
      <c r="F9" s="2">
        <v>3882.0</v>
      </c>
      <c r="G9" s="2">
        <f t="shared" si="1"/>
        <v>4007</v>
      </c>
      <c r="H9" s="2">
        <f t="shared" si="2"/>
        <v>316.449838</v>
      </c>
    </row>
    <row r="10">
      <c r="A10" s="2">
        <v>950.0</v>
      </c>
      <c r="B10" s="2">
        <v>3922.0</v>
      </c>
      <c r="C10" s="2">
        <v>3982.0</v>
      </c>
      <c r="D10" s="2">
        <v>3962.0</v>
      </c>
      <c r="E10" s="2">
        <v>3028.0</v>
      </c>
      <c r="F10" s="2">
        <v>4011.0</v>
      </c>
      <c r="G10" s="2">
        <f t="shared" si="1"/>
        <v>3781</v>
      </c>
      <c r="H10" s="2">
        <f t="shared" si="2"/>
        <v>422.182425</v>
      </c>
    </row>
    <row r="11">
      <c r="A11" s="2">
        <v>900.0</v>
      </c>
      <c r="B11" s="2">
        <v>5091.0</v>
      </c>
      <c r="C11" s="2">
        <v>4170.0</v>
      </c>
      <c r="D11" s="2">
        <v>4091.0</v>
      </c>
      <c r="E11" s="2">
        <v>2800.0</v>
      </c>
      <c r="F11" s="2">
        <v>4111.0</v>
      </c>
      <c r="G11" s="2">
        <f t="shared" si="1"/>
        <v>4052.6</v>
      </c>
      <c r="H11" s="2">
        <f t="shared" si="2"/>
        <v>816.3867343</v>
      </c>
    </row>
    <row r="12">
      <c r="A12" s="2">
        <v>850.0</v>
      </c>
      <c r="B12" s="2">
        <v>3823.0</v>
      </c>
      <c r="C12" s="2">
        <v>3922.0</v>
      </c>
      <c r="D12" s="2">
        <v>4270.0</v>
      </c>
      <c r="E12" s="2">
        <v>2909.0</v>
      </c>
      <c r="F12" s="2">
        <v>4280.0</v>
      </c>
      <c r="G12" s="2">
        <f t="shared" si="1"/>
        <v>3840.8</v>
      </c>
      <c r="H12" s="2">
        <f t="shared" si="2"/>
        <v>559.5245303</v>
      </c>
    </row>
    <row r="13">
      <c r="A13" s="2">
        <v>800.0</v>
      </c>
      <c r="B13" s="2">
        <v>3207.0</v>
      </c>
      <c r="C13" s="2">
        <v>3634.0</v>
      </c>
      <c r="D13" s="2">
        <v>4438.0</v>
      </c>
      <c r="E13" s="2">
        <v>3058.0</v>
      </c>
      <c r="F13" s="2">
        <v>4419.0</v>
      </c>
      <c r="G13" s="2">
        <f t="shared" si="1"/>
        <v>3751.2</v>
      </c>
      <c r="H13" s="2">
        <f t="shared" si="2"/>
        <v>653.4651483</v>
      </c>
    </row>
    <row r="14">
      <c r="A14" s="1"/>
      <c r="B14" s="5">
        <f t="shared" ref="B14:F14" si="3">_xlfn.STDEV.S(B3:B13)</f>
        <v>473.227391</v>
      </c>
      <c r="C14" s="5">
        <f t="shared" si="3"/>
        <v>220.6604961</v>
      </c>
      <c r="D14" s="5">
        <f t="shared" si="3"/>
        <v>279.5324993</v>
      </c>
      <c r="E14" s="5">
        <f t="shared" si="3"/>
        <v>345.6195754</v>
      </c>
      <c r="F14" s="5">
        <f t="shared" si="3"/>
        <v>309.5126668</v>
      </c>
      <c r="G14" s="1"/>
      <c r="H14" s="1"/>
    </row>
  </sheetData>
  <drawing r:id="rId1"/>
</worksheet>
</file>